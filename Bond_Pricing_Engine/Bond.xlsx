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filterPrivacy="1" defaultThemeVersion="124226"/>
  <xr:revisionPtr revIDLastSave="0" documentId="13_ncr:1_{C5C42998-8A56-5E41-AA03-6343CAFA8DE6}" xr6:coauthVersionLast="47" xr6:coauthVersionMax="47" xr10:uidLastSave="{00000000-0000-0000-0000-000000000000}"/>
  <bookViews>
    <workbookView xWindow="1120" yWindow="940" windowWidth="28040" windowHeight="15380" xr2:uid="{00000000-000D-0000-FFFF-FFFF00000000}"/>
  </bookViews>
  <sheets>
    <sheet name="bond_ex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K10" i="1"/>
  <c r="E10" i="1"/>
  <c r="F10" i="1"/>
  <c r="G10" i="1"/>
  <c r="H10" i="1"/>
  <c r="I10" i="1"/>
  <c r="J10" i="1"/>
  <c r="D10" i="1"/>
  <c r="C9" i="1"/>
  <c r="K9" i="1" l="1"/>
  <c r="J9" i="1"/>
  <c r="D9" i="1"/>
  <c r="E9" i="1"/>
  <c r="F9" i="1"/>
  <c r="G9" i="1"/>
  <c r="H9" i="1"/>
  <c r="I9" i="1"/>
  <c r="J12" i="1"/>
  <c r="K12" i="1" l="1"/>
  <c r="G12" i="1"/>
  <c r="H12" i="1"/>
  <c r="F12" i="1"/>
  <c r="D12" i="1"/>
  <c r="I12" i="1"/>
  <c r="E12" i="1"/>
  <c r="C12" i="1"/>
  <c r="K14" i="1" l="1"/>
</calcChain>
</file>

<file path=xl/sharedStrings.xml><?xml version="1.0" encoding="utf-8"?>
<sst xmlns="http://schemas.openxmlformats.org/spreadsheetml/2006/main" count="21" uniqueCount="20">
  <si>
    <t>T</t>
  </si>
  <si>
    <t>F</t>
  </si>
  <si>
    <t>C</t>
  </si>
  <si>
    <t>i</t>
  </si>
  <si>
    <t>Time to Maturity</t>
  </si>
  <si>
    <t>Frequency</t>
  </si>
  <si>
    <t>Coupon Rate</t>
  </si>
  <si>
    <t>Cash Flow #</t>
  </si>
  <si>
    <t>Amount</t>
  </si>
  <si>
    <t>Discount Factor</t>
  </si>
  <si>
    <t>Present Val Cas Flow</t>
  </si>
  <si>
    <t>$$</t>
  </si>
  <si>
    <t>Price</t>
  </si>
  <si>
    <t xml:space="preserve">          (7%)</t>
  </si>
  <si>
    <t xml:space="preserve">          (8%)</t>
  </si>
  <si>
    <t>Interest Rate</t>
  </si>
  <si>
    <t>DF</t>
  </si>
  <si>
    <t>PV</t>
  </si>
  <si>
    <t xml:space="preserve">Notice that the first coupon payment C9 is fraction of other coupon payment </t>
  </si>
  <si>
    <t>Also notice that here we assumed constant interest, in homework2, you interest rate is varying.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</si>
</sst>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15"/>
  <sheetViews>
    <sheetView tabSelected="1" workbookViewId="0">
      <selection activeCell="J18" sqref="J18"/>
    </sheetView>
  </sheetViews>
  <sheetFormatPr baseColWidth="10" defaultColWidth="9.1640625" defaultRowHeight="15" x14ac:dyDescent="0.2"/>
  <cols>
    <col min="1" max="1" width="19.33203125" bestFit="1" customWidth="1"/>
  </cols>
  <sheetData>
    <row r="3" spans="1:12" x14ac:dyDescent="0.2">
      <c r="A3" t="s">
        <v>4</v>
      </c>
      <c r="B3" t="s">
        <v>0</v>
      </c>
      <c r="C3">
        <v>4.2</v>
      </c>
    </row>
    <row r="4" spans="1:12" x14ac:dyDescent="0.2">
      <c r="A4" t="s">
        <v>5</v>
      </c>
      <c r="B4" t="s">
        <v>1</v>
      </c>
      <c r="C4">
        <v>0.5</v>
      </c>
    </row>
    <row r="5" spans="1:12" x14ac:dyDescent="0.2">
      <c r="A5" t="s">
        <v>6</v>
      </c>
      <c r="B5" t="s">
        <v>2</v>
      </c>
      <c r="C5">
        <v>0.08</v>
      </c>
      <c r="D5" s="3" t="s">
        <v>14</v>
      </c>
    </row>
    <row r="6" spans="1:12" x14ac:dyDescent="0.2">
      <c r="A6" t="s">
        <v>15</v>
      </c>
      <c r="B6" t="s">
        <v>3</v>
      </c>
      <c r="C6">
        <v>7.0000000000000007E-2</v>
      </c>
      <c r="D6" s="3" t="s">
        <v>13</v>
      </c>
    </row>
    <row r="8" spans="1:12" x14ac:dyDescent="0.2">
      <c r="A8" t="s">
        <v>7</v>
      </c>
      <c r="B8" t="s">
        <v>3</v>
      </c>
      <c r="C8">
        <v>1</v>
      </c>
      <c r="D8">
        <v>2</v>
      </c>
      <c r="E8">
        <v>3</v>
      </c>
      <c r="F8">
        <v>4</v>
      </c>
      <c r="G8">
        <v>5</v>
      </c>
      <c r="H8">
        <v>6</v>
      </c>
      <c r="I8">
        <v>7</v>
      </c>
      <c r="J8">
        <v>8</v>
      </c>
      <c r="K8">
        <v>9</v>
      </c>
    </row>
    <row r="9" spans="1:12" x14ac:dyDescent="0.2">
      <c r="A9" t="s">
        <v>8</v>
      </c>
      <c r="B9" t="s">
        <v>11</v>
      </c>
      <c r="C9">
        <f>100*$C$5*$C$4*(0.2/C4)</f>
        <v>1.6</v>
      </c>
      <c r="D9">
        <f t="shared" ref="D9:I9" si="0">100*$C$5*$C$4</f>
        <v>4</v>
      </c>
      <c r="E9">
        <f t="shared" si="0"/>
        <v>4</v>
      </c>
      <c r="F9">
        <f t="shared" si="0"/>
        <v>4</v>
      </c>
      <c r="G9">
        <f t="shared" si="0"/>
        <v>4</v>
      </c>
      <c r="H9">
        <f t="shared" si="0"/>
        <v>4</v>
      </c>
      <c r="I9">
        <f t="shared" si="0"/>
        <v>4</v>
      </c>
      <c r="J9">
        <f>100*$C$5*$C$4</f>
        <v>4</v>
      </c>
      <c r="K9">
        <f>100*$C$5*$C$4+100</f>
        <v>104</v>
      </c>
    </row>
    <row r="10" spans="1:12" x14ac:dyDescent="0.2">
      <c r="A10" t="s">
        <v>9</v>
      </c>
      <c r="B10" t="s">
        <v>16</v>
      </c>
      <c r="C10" s="1">
        <f>EXP(-$C$6*0.2)</f>
        <v>0.98609754426286189</v>
      </c>
      <c r="D10" s="1">
        <f>EXP(-$C$6*((D8-1)*$C$4+0.2))</f>
        <v>0.95218112969850488</v>
      </c>
      <c r="E10" s="1">
        <f>EXP(-$C$6*((E8-1)*$C$4+0.2))</f>
        <v>0.91943125609512466</v>
      </c>
      <c r="F10" s="1">
        <f t="shared" ref="E10:J10" si="1">EXP(-$C$6*((F8-1)*$C$4+0.2))</f>
        <v>0.88780780076195009</v>
      </c>
      <c r="G10" s="1">
        <f t="shared" si="1"/>
        <v>0.85727202101145739</v>
      </c>
      <c r="H10" s="1">
        <f t="shared" si="1"/>
        <v>0.82778650669473364</v>
      </c>
      <c r="I10" s="1">
        <f t="shared" si="1"/>
        <v>0.79931513436936508</v>
      </c>
      <c r="J10" s="1">
        <f t="shared" si="1"/>
        <v>0.77182302304370343</v>
      </c>
      <c r="K10" s="1">
        <f>EXP(-$C$6*C3)</f>
        <v>0.74527649144328856</v>
      </c>
    </row>
    <row r="12" spans="1:12" x14ac:dyDescent="0.2">
      <c r="A12" t="s">
        <v>10</v>
      </c>
      <c r="B12" t="s">
        <v>17</v>
      </c>
      <c r="C12">
        <f>C9*C10</f>
        <v>1.5777560708205791</v>
      </c>
      <c r="D12">
        <f t="shared" ref="D12:J12" si="2">D9*D10</f>
        <v>3.8087245187940195</v>
      </c>
      <c r="E12">
        <f t="shared" si="2"/>
        <v>3.6777250243804986</v>
      </c>
      <c r="F12">
        <f t="shared" si="2"/>
        <v>3.5512312030478004</v>
      </c>
      <c r="G12">
        <f t="shared" si="2"/>
        <v>3.4290880840458295</v>
      </c>
      <c r="H12">
        <f t="shared" si="2"/>
        <v>3.3111460267789345</v>
      </c>
      <c r="I12">
        <f t="shared" si="2"/>
        <v>3.1972605374774603</v>
      </c>
      <c r="J12">
        <f t="shared" si="2"/>
        <v>3.0872920921748137</v>
      </c>
      <c r="K12">
        <f>K9*K10</f>
        <v>77.508755110102015</v>
      </c>
    </row>
    <row r="14" spans="1:12" x14ac:dyDescent="0.2">
      <c r="C14" t="s">
        <v>18</v>
      </c>
      <c r="K14" s="2">
        <f>SUM($C$12:K12)</f>
        <v>103.14897866762195</v>
      </c>
      <c r="L14" s="2" t="s">
        <v>12</v>
      </c>
    </row>
    <row r="15" spans="1:12" x14ac:dyDescent="0.2">
      <c r="C1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bond_example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2025-09-16T17:21:34Z</dcterms:modified>
</cp:coreProperties>
</file>